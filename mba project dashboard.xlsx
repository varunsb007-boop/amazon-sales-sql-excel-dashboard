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hidePivotFieldList="1" defaultThemeVersion="166925"/>
  <xr:revisionPtr revIDLastSave="0" documentId="8_{81CEFF2F-7641-4FEA-A99D-082F9BDBCA3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ba project" sheetId="1" r:id="rId1"/>
  </sheets>
  <definedNames>
    <definedName name="Slicer_Category">#N/A</definedName>
    <definedName name="Slicer_customer_type">#N/A</definedName>
    <definedName name="Slicer_fulfilment1">#N/A</definedName>
    <definedName name="Slicer_sku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<sst xmlns="http://schemas.openxmlformats.org/spreadsheetml/2006/main" count="104" uniqueCount="72">
  <si>
    <t xml:space="preserve">   Business Overview	</t>
  </si>
  <si>
    <t>₹41903465.38</t>
  </si>
  <si>
    <t>Total Revenue</t>
  </si>
  <si>
    <t>Total Orders</t>
  </si>
  <si>
    <t>Total Units Sold</t>
  </si>
  <si>
    <t>Cancel Order %</t>
  </si>
  <si>
    <t>Customer Segmentation (B2B vs B2C)</t>
  </si>
  <si>
    <t>customer_type</t>
  </si>
  <si>
    <t>B2C</t>
  </si>
  <si>
    <t>B2B</t>
  </si>
  <si>
    <t>total_orders</t>
  </si>
  <si>
    <t>total_units_sold</t>
  </si>
  <si>
    <t>total_revenue</t>
  </si>
  <si>
    <t>avg_revenue</t>
  </si>
  <si>
    <t>Revenue by Category</t>
  </si>
  <si>
    <t>Category</t>
  </si>
  <si>
    <t>Set</t>
  </si>
  <si>
    <t>kurta</t>
  </si>
  <si>
    <t>Western Dress</t>
  </si>
  <si>
    <t>Top</t>
  </si>
  <si>
    <t>Ethnic Dress</t>
  </si>
  <si>
    <t>Blouse</t>
  </si>
  <si>
    <t>Bottom</t>
  </si>
  <si>
    <t>Saree</t>
  </si>
  <si>
    <t>Top 10 SKUs by Revenue</t>
  </si>
  <si>
    <t>sku</t>
  </si>
  <si>
    <t>J0230-SKD-M</t>
  </si>
  <si>
    <t>J0230-SKD-S</t>
  </si>
  <si>
    <t>SET268-KR-NP-XL</t>
  </si>
  <si>
    <t>SET268-KR-NP-L</t>
  </si>
  <si>
    <t>SET268-KR-NP-S</t>
  </si>
  <si>
    <t>J0341-DR-M</t>
  </si>
  <si>
    <t>J0230-SKD-L</t>
  </si>
  <si>
    <t>J0341-DR-L</t>
  </si>
  <si>
    <t>JNE3797-KR-L</t>
  </si>
  <si>
    <t>JNE3405-KR-L</t>
  </si>
  <si>
    <t>fulfilment</t>
  </si>
  <si>
    <t>total_sales</t>
  </si>
  <si>
    <t>Amazon</t>
  </si>
  <si>
    <t>Merchant</t>
  </si>
  <si>
    <t>filter</t>
  </si>
  <si>
    <t>Order Status Distribution</t>
  </si>
  <si>
    <t>Status</t>
  </si>
  <si>
    <t>orders</t>
  </si>
  <si>
    <t>value/revenue</t>
  </si>
  <si>
    <t>Shipped</t>
  </si>
  <si>
    <t>Shipped - Delivered to Buyer</t>
  </si>
  <si>
    <t>Cancelled</t>
  </si>
  <si>
    <t>Shipped - Returned to Seller</t>
  </si>
  <si>
    <t>Shipped - Returning to Seller</t>
  </si>
  <si>
    <t>Shipped - Picked Up</t>
  </si>
  <si>
    <t>Pending</t>
  </si>
  <si>
    <t>Shipped - Rejected by Buyer</t>
  </si>
  <si>
    <t>Shipped - Lost in Transit</t>
  </si>
  <si>
    <t>Shipped - Out for Delivery</t>
  </si>
  <si>
    <t>Monthly Trend </t>
  </si>
  <si>
    <t>month</t>
  </si>
  <si>
    <t>revenue</t>
  </si>
  <si>
    <t>units</t>
  </si>
  <si>
    <t>2004-01</t>
  </si>
  <si>
    <t>2004-02</t>
  </si>
  <si>
    <t>Column1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</si>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</sst>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4"/>
      <color theme="7" tint="-0.499984740745262"/>
      <name val="Calibri"/>
      <family val="2"/>
      <scheme val="minor"/>
    </font>
    <font>
      <b/>
      <sz val="18"/>
      <color rgb="FF7030A0"/>
      <name val="Calibri"/>
      <family val="2"/>
      <scheme val="minor"/>
    </font>
    <font>
      <sz val="16"/>
      <color rgb="FF0070C0"/>
      <name val="Calibri"/>
      <family val="2"/>
      <scheme val="minor"/>
    </font>
    <font>
      <sz val="16"/>
      <color rgb="FFFFFF00"/>
      <name val="Calibri"/>
      <family val="2"/>
      <scheme val="minor"/>
    </font>
    <font>
      <sz val="16"/>
      <color rgb="FF7030A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rgb="FF0070C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rgb="FFFF0000"/>
      <name val="Calibri"/>
      <scheme val="minor"/>
    </font>
    <font>
      <b/>
      <sz val="11"/>
      <color rgb="FFFF0000"/>
      <name val="Calibri"/>
      <family val="2"/>
      <scheme val="minor"/>
    </font>
    <font>
      <sz val="11"/>
      <color rgb="FF854A4A"/>
      <name val="Calibri"/>
      <family val="2"/>
      <scheme val="minor"/>
    </font>
    <font>
      <b/>
      <sz val="36"/>
      <color rgb="FF0070C0"/>
      <name val="Calibri"/>
      <scheme val="minor"/>
    </font>
    <font>
      <sz val="36"/>
      <color rgb="FF000000"/>
      <name val="Calibri"/>
      <family val="2"/>
      <scheme val="minor"/>
    </font>
    <font>
      <sz val="48"/>
      <color rgb="FF000000"/>
      <name val="Calibri"/>
      <family val="2"/>
      <scheme val="minor"/>
    </font>
    <font>
      <b/>
      <sz val="48"/>
      <color theme="4" tint="-0.499984740745262"/>
      <name val="Calibri"/>
      <family val="2"/>
      <scheme val="minor"/>
    </font>
    <font>
      <sz val="48"/>
      <color theme="1"/>
      <name val="Calibri"/>
      <family val="2"/>
      <scheme val="minor"/>
    </font>
    <font>
      <sz val="28"/>
      <color rgb="FF00B050"/>
      <name val="Calibri"/>
      <family val="2"/>
      <scheme val="minor"/>
    </font>
    <font>
      <b/>
      <sz val="36"/>
      <color rgb="FF0070C0"/>
      <name val="Calibri"/>
      <family val="2"/>
      <scheme val="minor"/>
    </font>
    <font>
      <sz val="36"/>
      <color rgb="FF0070C0"/>
      <name val="Calibri"/>
      <family val="2"/>
      <scheme val="minor"/>
    </font>
    <font>
      <sz val="28"/>
      <color rgb="FFFF0000"/>
      <name val="Calibri"/>
      <scheme val="minor"/>
    </font>
    <font>
      <sz val="16"/>
      <color theme="1"/>
      <name val="Calibri"/>
      <family val="2"/>
      <scheme val="minor"/>
    </font>
    <font>
      <sz val="16"/>
      <color theme="9"/>
      <name val="Calibri"/>
      <family val="2"/>
      <scheme val="minor"/>
    </font>
    <font>
      <b/>
      <sz val="16"/>
      <color theme="9"/>
      <name val="Calibri"/>
      <family val="2"/>
      <scheme val="minor"/>
    </font>
    <font>
      <sz val="36"/>
      <color rgb="FF00B0F0"/>
      <name val="Calibri"/>
      <scheme val="minor"/>
    </font>
    <font>
      <sz val="11"/>
      <color rgb="FF00B0F0"/>
      <name val="Calibri"/>
      <family val="2"/>
      <scheme val="minor"/>
    </font>
    <font>
      <sz val="16"/>
      <color rgb="FF000000"/>
      <name val="Calibri"/>
      <family val="2"/>
      <scheme val="minor"/>
    </font>
    <font>
      <sz val="36"/>
      <color rgb="FF7030A0"/>
      <name val="Calibri"/>
      <family val="2"/>
      <scheme val="minor"/>
    </font>
    <font>
      <sz val="26"/>
      <color theme="9" tint="-0.24997711111789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54A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/>
    <xf numFmtId="0" fontId="0" fillId="2" borderId="0" xfId="0" applyFill="1"/>
    <xf numFmtId="10" fontId="0" fillId="2" borderId="0" xfId="0" applyNumberFormat="1" applyFill="1"/>
    <xf numFmtId="3" fontId="3" fillId="3" borderId="0" xfId="0" applyNumberFormat="1" applyFont="1" applyFill="1"/>
    <xf numFmtId="0" fontId="2" fillId="3" borderId="0" xfId="0" applyFont="1" applyFill="1"/>
    <xf numFmtId="0" fontId="3" fillId="4" borderId="0" xfId="0" applyFont="1" applyFill="1"/>
    <xf numFmtId="0" fontId="2" fillId="4" borderId="0" xfId="0" applyFont="1" applyFill="1"/>
    <xf numFmtId="3" fontId="3" fillId="5" borderId="0" xfId="0" applyNumberFormat="1" applyFont="1" applyFill="1"/>
    <xf numFmtId="0" fontId="2" fillId="5" borderId="0" xfId="0" applyFont="1" applyFill="1"/>
    <xf numFmtId="10" fontId="3" fillId="6" borderId="0" xfId="0" applyNumberFormat="1" applyFont="1" applyFill="1"/>
    <xf numFmtId="0" fontId="5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7" borderId="0" xfId="0" applyFont="1" applyFill="1"/>
    <xf numFmtId="0" fontId="8" fillId="8" borderId="0" xfId="0" applyFont="1" applyFill="1"/>
    <xf numFmtId="0" fontId="9" fillId="0" borderId="0" xfId="0" applyFont="1"/>
    <xf numFmtId="0" fontId="4" fillId="8" borderId="0" xfId="0" applyFont="1" applyFill="1" applyAlignment="1">
      <alignment horizontal="center"/>
    </xf>
    <xf numFmtId="0" fontId="12" fillId="9" borderId="0" xfId="0" applyFont="1" applyFill="1"/>
    <xf numFmtId="0" fontId="1" fillId="9" borderId="0" xfId="0" applyFont="1" applyFill="1"/>
    <xf numFmtId="0" fontId="0" fillId="9" borderId="0" xfId="0" applyFill="1"/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5" fillId="2" borderId="0" xfId="0" applyFont="1" applyFill="1"/>
    <xf numFmtId="0" fontId="17" fillId="2" borderId="0" xfId="0" applyFont="1" applyFill="1"/>
    <xf numFmtId="0" fontId="2" fillId="6" borderId="0" xfId="0" applyFont="1" applyFill="1" applyAlignment="1">
      <alignment horizontal="center"/>
    </xf>
    <xf numFmtId="0" fontId="23" fillId="0" borderId="0" xfId="0" applyFont="1"/>
    <xf numFmtId="0" fontId="0" fillId="0" borderId="1" xfId="0" applyBorder="1"/>
    <xf numFmtId="0" fontId="0" fillId="11" borderId="2" xfId="0" applyFont="1" applyFill="1" applyBorder="1"/>
    <xf numFmtId="0" fontId="0" fillId="0" borderId="2" xfId="0" applyFont="1" applyBorder="1"/>
    <xf numFmtId="0" fontId="22" fillId="0" borderId="0" xfId="0" applyFont="1" applyAlignment="1">
      <alignment horizontal="center"/>
    </xf>
    <xf numFmtId="0" fontId="27" fillId="2" borderId="0" xfId="0" applyFont="1" applyFill="1"/>
    <xf numFmtId="0" fontId="29" fillId="14" borderId="0" xfId="0" applyFont="1" applyFill="1" applyAlignment="1">
      <alignment horizontal="center"/>
    </xf>
    <xf numFmtId="0" fontId="0" fillId="11" borderId="3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24" fillId="10" borderId="6" xfId="0" applyFont="1" applyFill="1" applyBorder="1"/>
    <xf numFmtId="0" fontId="24" fillId="10" borderId="7" xfId="0" applyFont="1" applyFill="1" applyBorder="1"/>
    <xf numFmtId="0" fontId="25" fillId="12" borderId="0" xfId="0" applyFont="1" applyFill="1" applyAlignment="1">
      <alignment horizontal="center"/>
    </xf>
    <xf numFmtId="0" fontId="26" fillId="12" borderId="0" xfId="0" applyFont="1" applyFill="1" applyAlignment="1">
      <alignment horizontal="center"/>
    </xf>
    <xf numFmtId="0" fontId="28" fillId="13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medium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9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6"/>
        <color theme="9" tint="-0.249977111117893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z val="16"/>
        <color theme="9"/>
      </font>
    </dxf>
    <dxf>
      <font>
        <sz val="18"/>
      </font>
    </dxf>
    <dxf>
      <font>
        <sz val="18"/>
      </font>
    </dxf>
    <dxf>
      <font>
        <sz val="18"/>
        <color rgb="FF0070C0"/>
      </font>
      <fill>
        <patternFill patternType="solid">
          <fgColor indexed="64"/>
          <bgColor theme="5" tint="0.79998168889431442"/>
        </patternFill>
      </fill>
    </dxf>
    <dxf>
      <font>
        <sz val="18"/>
      </font>
    </dxf>
    <dxf>
      <font>
        <sz val="18"/>
        <color theme="0"/>
      </font>
      <fill>
        <patternFill patternType="solid">
          <fgColor indexed="64"/>
          <bgColor theme="1" tint="0.249977111117893"/>
        </patternFill>
      </fill>
    </dxf>
    <dxf>
      <font>
        <sz val="16"/>
        <color rgb="FF7030A0"/>
      </font>
      <alignment horizontal="center"/>
    </dxf>
    <dxf>
      <font>
        <sz val="16"/>
        <color rgb="FF7030A0"/>
      </font>
      <alignment horizontal="center"/>
    </dxf>
    <dxf>
      <font>
        <sz val="16"/>
        <color rgb="FF0070C0"/>
      </font>
      <fill>
        <patternFill patternType="solid">
          <fgColor indexed="64"/>
          <bgColor theme="5" tint="0.79998168889431442"/>
        </patternFill>
      </fill>
      <alignment horizontal="center"/>
    </dxf>
    <dxf>
      <font>
        <sz val="16"/>
        <color rgb="FF0070C0"/>
      </font>
      <alignment horizontal="center"/>
    </dxf>
    <dxf>
      <font>
        <sz val="16"/>
        <color rgb="FFFFFF00"/>
      </font>
      <fill>
        <patternFill patternType="solid">
          <fgColor indexed="64"/>
          <bgColor theme="1" tint="0.249977111117893"/>
        </patternFill>
      </fill>
    </dxf>
  </dxfs>
  <tableStyles count="0" defaultTableStyle="TableStyleMedium2" defaultPivotStyle="PivotStyleMedium9"/>
  <colors>
    <mruColors>
      <color rgb="FF854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2.xml"/><Relationship Id="rId7" Type="http://schemas.openxmlformats.org/officeDocument/2006/relationships/styles" Target="style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4.xml"/><Relationship Id="rId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B2B VS B2C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'mba project'!$B$12</c:f>
              <c:strCache>
                <c:ptCount val="1"/>
                <c:pt idx="0">
                  <c:v>B2C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'mba project'!$A$13:$A$16</c:f>
              <c:strCache>
                <c:ptCount val="4"/>
                <c:pt idx="0">
                  <c:v>total_orders</c:v>
                </c:pt>
                <c:pt idx="1">
                  <c:v>total_units_sold</c:v>
                </c:pt>
                <c:pt idx="2">
                  <c:v>total_revenue</c:v>
                </c:pt>
                <c:pt idx="3">
                  <c:v>avg_revenue</c:v>
                </c:pt>
              </c:strCache>
            </c:strRef>
          </c:cat>
          <c:val>
            <c:numRef>
              <c:f>'mba project'!$B$13:$B$16</c:f>
              <c:numCache>
                <c:formatCode>General</c:formatCode>
                <c:ptCount val="4"/>
                <c:pt idx="0">
                  <c:v>62018</c:v>
                </c:pt>
                <c:pt idx="1">
                  <c:v>62231</c:v>
                </c:pt>
                <c:pt idx="2">
                  <c:v>39792373</c:v>
                </c:pt>
                <c:pt idx="3">
                  <c:v>639.42999999999995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C-48EE-9DCB-28BD60C3E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5"/>
        <c:axId val="756589576"/>
        <c:axId val="756591624"/>
      </c:barChart>
      <c:lineChart>
        <c:grouping val="standard"/>
        <c:varyColors val="0"/>
        <c:ser>
          <c:idx val="1"/>
          <c:order val="1"/>
          <c:tx>
            <c:strRef>
              <c:f>'mba project'!$C$12</c:f>
              <c:strCache>
                <c:ptCount val="1"/>
                <c:pt idx="0">
                  <c:v>B2B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'mba project'!$A$13:$A$16</c:f>
              <c:strCache>
                <c:ptCount val="4"/>
                <c:pt idx="0">
                  <c:v>total_orders</c:v>
                </c:pt>
                <c:pt idx="1">
                  <c:v>total_units_sold</c:v>
                </c:pt>
                <c:pt idx="2">
                  <c:v>total_revenue</c:v>
                </c:pt>
                <c:pt idx="3">
                  <c:v>avg_revenue</c:v>
                </c:pt>
              </c:strCache>
            </c:strRef>
          </c:cat>
          <c:val>
            <c:numRef>
              <c:f>'mba project'!$C$13:$C$16</c:f>
              <c:numCache>
                <c:formatCode>General</c:formatCode>
                <c:ptCount val="4"/>
                <c:pt idx="0">
                  <c:v>458</c:v>
                </c:pt>
                <c:pt idx="1">
                  <c:v>470</c:v>
                </c:pt>
                <c:pt idx="2">
                  <c:v>323475</c:v>
                </c:pt>
                <c:pt idx="3">
                  <c:v>688.24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2C-48EE-9DCB-28BD60C3E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56647"/>
        <c:axId val="551845383"/>
      </c:lineChart>
      <c:catAx>
        <c:axId val="75658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91624"/>
        <c:crosses val="autoZero"/>
        <c:auto val="1"/>
        <c:lblAlgn val="ctr"/>
        <c:lblOffset val="100"/>
        <c:noMultiLvlLbl val="0"/>
      </c:catAx>
      <c:valAx>
        <c:axId val="75659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89576"/>
        <c:crosses val="autoZero"/>
        <c:crossBetween val="between"/>
      </c:valAx>
      <c:valAx>
        <c:axId val="55184538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56647"/>
        <c:crosses val="max"/>
        <c:crossBetween val="between"/>
      </c:valAx>
      <c:catAx>
        <c:axId val="551856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1845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'mba project'!$D$33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'mba project'!$C$34:$C$41</c:f>
              <c:strCache>
                <c:ptCount val="8"/>
                <c:pt idx="0">
                  <c:v>Set</c:v>
                </c:pt>
                <c:pt idx="1">
                  <c:v>kurta</c:v>
                </c:pt>
                <c:pt idx="2">
                  <c:v>Western Dress</c:v>
                </c:pt>
                <c:pt idx="3">
                  <c:v>Top</c:v>
                </c:pt>
                <c:pt idx="4">
                  <c:v>Ethnic Dress</c:v>
                </c:pt>
                <c:pt idx="5">
                  <c:v>Blouse</c:v>
                </c:pt>
                <c:pt idx="6">
                  <c:v>Bottom</c:v>
                </c:pt>
                <c:pt idx="7">
                  <c:v>Saree</c:v>
                </c:pt>
              </c:strCache>
            </c:strRef>
          </c:cat>
          <c:val>
            <c:numRef>
              <c:f>'mba project'!$D$34:$D$41</c:f>
              <c:numCache>
                <c:formatCode>General</c:formatCode>
                <c:ptCount val="8"/>
                <c:pt idx="0">
                  <c:v>20505818</c:v>
                </c:pt>
                <c:pt idx="1">
                  <c:v>10672543</c:v>
                </c:pt>
                <c:pt idx="2">
                  <c:v>5283184</c:v>
                </c:pt>
                <c:pt idx="3">
                  <c:v>2857728</c:v>
                </c:pt>
                <c:pt idx="4">
                  <c:v>387349</c:v>
                </c:pt>
                <c:pt idx="5">
                  <c:v>254639</c:v>
                </c:pt>
                <c:pt idx="6">
                  <c:v>88194</c:v>
                </c:pt>
                <c:pt idx="7">
                  <c:v>66393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D-4F66-A7CF-AD39593ED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8632968"/>
        <c:axId val="107823111"/>
      </c:barChart>
      <c:lineChart>
        <c:grouping val="standard"/>
        <c:varyColors val="0"/>
        <c:ser>
          <c:idx val="1"/>
          <c:order val="1"/>
          <c:tx>
            <c:strRef>
              <c:f>'mba project'!$E$33</c:f>
              <c:strCache>
                <c:ptCount val="1"/>
                <c:pt idx="0">
                  <c:v>total_units_sold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project'!$C$34:$C$41</c:f>
              <c:strCache>
                <c:ptCount val="8"/>
                <c:pt idx="0">
                  <c:v>Set</c:v>
                </c:pt>
                <c:pt idx="1">
                  <c:v>kurta</c:v>
                </c:pt>
                <c:pt idx="2">
                  <c:v>Western Dress</c:v>
                </c:pt>
                <c:pt idx="3">
                  <c:v>Top</c:v>
                </c:pt>
                <c:pt idx="4">
                  <c:v>Ethnic Dress</c:v>
                </c:pt>
                <c:pt idx="5">
                  <c:v>Blouse</c:v>
                </c:pt>
                <c:pt idx="6">
                  <c:v>Bottom</c:v>
                </c:pt>
                <c:pt idx="7">
                  <c:v>Saree</c:v>
                </c:pt>
              </c:strCache>
            </c:strRef>
          </c:cat>
          <c:val>
            <c:numRef>
              <c:f>'mba project'!$E$34:$E$41</c:f>
              <c:numCache>
                <c:formatCode>General</c:formatCode>
                <c:ptCount val="8"/>
                <c:pt idx="0">
                  <c:v>24763</c:v>
                </c:pt>
                <c:pt idx="1">
                  <c:v>23835</c:v>
                </c:pt>
                <c:pt idx="2">
                  <c:v>6980</c:v>
                </c:pt>
                <c:pt idx="3">
                  <c:v>5740</c:v>
                </c:pt>
                <c:pt idx="4">
                  <c:v>534</c:v>
                </c:pt>
                <c:pt idx="5">
                  <c:v>518</c:v>
                </c:pt>
                <c:pt idx="6">
                  <c:v>244</c:v>
                </c:pt>
                <c:pt idx="7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D-4F66-A7CF-AD39593ED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179784"/>
        <c:axId val="107837959"/>
      </c:lineChart>
      <c:catAx>
        <c:axId val="167863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3111"/>
        <c:crosses val="autoZero"/>
        <c:auto val="1"/>
        <c:lblAlgn val="ctr"/>
        <c:lblOffset val="100"/>
        <c:noMultiLvlLbl val="0"/>
      </c:catAx>
      <c:valAx>
        <c:axId val="107823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632968"/>
        <c:crosses val="autoZero"/>
        <c:crossBetween val="between"/>
      </c:valAx>
      <c:valAx>
        <c:axId val="10783795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79784"/>
        <c:crosses val="max"/>
        <c:crossBetween val="between"/>
      </c:valAx>
      <c:catAx>
        <c:axId val="743179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83795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'mba project'!$D$62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project'!$C$63:$C$72</c:f>
              <c:strCache>
                <c:ptCount val="10"/>
                <c:pt idx="0">
                  <c:v>J0230-SKD-M</c:v>
                </c:pt>
                <c:pt idx="1">
                  <c:v>J0230-SKD-S</c:v>
                </c:pt>
                <c:pt idx="2">
                  <c:v>SET268-KR-NP-XL</c:v>
                </c:pt>
                <c:pt idx="3">
                  <c:v>SET268-KR-NP-L</c:v>
                </c:pt>
                <c:pt idx="4">
                  <c:v>SET268-KR-NP-S</c:v>
                </c:pt>
                <c:pt idx="5">
                  <c:v>J0341-DR-M</c:v>
                </c:pt>
                <c:pt idx="6">
                  <c:v>J0230-SKD-L</c:v>
                </c:pt>
                <c:pt idx="7">
                  <c:v>J0341-DR-L</c:v>
                </c:pt>
                <c:pt idx="8">
                  <c:v>JNE3797-KR-L</c:v>
                </c:pt>
                <c:pt idx="9">
                  <c:v>JNE3405-KR-L</c:v>
                </c:pt>
              </c:strCache>
            </c:strRef>
          </c:cat>
          <c:val>
            <c:numRef>
              <c:f>'mba project'!$D$63:$D$72</c:f>
              <c:numCache>
                <c:formatCode>General</c:formatCode>
                <c:ptCount val="10"/>
                <c:pt idx="0">
                  <c:v>348823</c:v>
                </c:pt>
                <c:pt idx="1">
                  <c:v>296569</c:v>
                </c:pt>
                <c:pt idx="2">
                  <c:v>234490</c:v>
                </c:pt>
                <c:pt idx="3">
                  <c:v>226408</c:v>
                </c:pt>
                <c:pt idx="4">
                  <c:v>220576</c:v>
                </c:pt>
                <c:pt idx="5">
                  <c:v>170708</c:v>
                </c:pt>
                <c:pt idx="6">
                  <c:v>167822</c:v>
                </c:pt>
                <c:pt idx="7">
                  <c:v>160755</c:v>
                </c:pt>
                <c:pt idx="8">
                  <c:v>160021</c:v>
                </c:pt>
                <c:pt idx="9">
                  <c:v>152564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F-40E1-9960-889B338E3FF8}"/>
            </c:ext>
          </c:extLst>
        </c:ser>
        <c:ser>
          <c:idx val="1"/>
          <c:order val="1"/>
          <c:tx>
            <c:strRef>
              <c:f>'mba project'!$E$62</c:f>
              <c:strCache>
                <c:ptCount val="1"/>
                <c:pt idx="0">
                  <c:v>total_units_sold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project'!$C$63:$C$72</c:f>
              <c:strCache>
                <c:ptCount val="10"/>
                <c:pt idx="0">
                  <c:v>J0230-SKD-M</c:v>
                </c:pt>
                <c:pt idx="1">
                  <c:v>J0230-SKD-S</c:v>
                </c:pt>
                <c:pt idx="2">
                  <c:v>SET268-KR-NP-XL</c:v>
                </c:pt>
                <c:pt idx="3">
                  <c:v>SET268-KR-NP-L</c:v>
                </c:pt>
                <c:pt idx="4">
                  <c:v>SET268-KR-NP-S</c:v>
                </c:pt>
                <c:pt idx="5">
                  <c:v>J0341-DR-M</c:v>
                </c:pt>
                <c:pt idx="6">
                  <c:v>J0230-SKD-L</c:v>
                </c:pt>
                <c:pt idx="7">
                  <c:v>J0341-DR-L</c:v>
                </c:pt>
                <c:pt idx="8">
                  <c:v>JNE3797-KR-L</c:v>
                </c:pt>
                <c:pt idx="9">
                  <c:v>JNE3405-KR-L</c:v>
                </c:pt>
              </c:strCache>
            </c:strRef>
          </c:cat>
          <c:val>
            <c:numRef>
              <c:f>'mba project'!$E$63:$E$72</c:f>
              <c:numCache>
                <c:formatCode>General</c:formatCode>
                <c:ptCount val="10"/>
                <c:pt idx="0">
                  <c:v>326</c:v>
                </c:pt>
                <c:pt idx="1">
                  <c:v>272</c:v>
                </c:pt>
                <c:pt idx="2">
                  <c:v>310</c:v>
                </c:pt>
                <c:pt idx="3">
                  <c:v>306</c:v>
                </c:pt>
                <c:pt idx="4">
                  <c:v>291</c:v>
                </c:pt>
                <c:pt idx="5">
                  <c:v>212</c:v>
                </c:pt>
                <c:pt idx="6">
                  <c:v>155</c:v>
                </c:pt>
                <c:pt idx="7">
                  <c:v>201</c:v>
                </c:pt>
                <c:pt idx="8">
                  <c:v>217</c:v>
                </c:pt>
                <c:pt idx="9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1F-40E1-9960-889B338E3FF8}"/>
            </c:ext>
          </c:extLst>
        </c:ser>
        <c:ser>
          <c:idx val="2"/>
          <c:order val="2"/>
          <c:tx>
            <c:strRef>
              <c:f>'mba project'!$F$62</c:f>
              <c:strCache>
                <c:ptCount val="1"/>
                <c:pt idx="0">
                  <c:v>avg_revenue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project'!$C$63:$C$72</c:f>
              <c:strCache>
                <c:ptCount val="10"/>
                <c:pt idx="0">
                  <c:v>J0230-SKD-M</c:v>
                </c:pt>
                <c:pt idx="1">
                  <c:v>J0230-SKD-S</c:v>
                </c:pt>
                <c:pt idx="2">
                  <c:v>SET268-KR-NP-XL</c:v>
                </c:pt>
                <c:pt idx="3">
                  <c:v>SET268-KR-NP-L</c:v>
                </c:pt>
                <c:pt idx="4">
                  <c:v>SET268-KR-NP-S</c:v>
                </c:pt>
                <c:pt idx="5">
                  <c:v>J0341-DR-M</c:v>
                </c:pt>
                <c:pt idx="6">
                  <c:v>J0230-SKD-L</c:v>
                </c:pt>
                <c:pt idx="7">
                  <c:v>J0341-DR-L</c:v>
                </c:pt>
                <c:pt idx="8">
                  <c:v>JNE3797-KR-L</c:v>
                </c:pt>
                <c:pt idx="9">
                  <c:v>JNE3405-KR-L</c:v>
                </c:pt>
              </c:strCache>
            </c:strRef>
          </c:cat>
          <c:val>
            <c:numRef>
              <c:f>'mba project'!$F$63:$F$72</c:f>
              <c:numCache>
                <c:formatCode>General</c:formatCode>
                <c:ptCount val="10"/>
                <c:pt idx="0">
                  <c:v>1070.01</c:v>
                </c:pt>
                <c:pt idx="1">
                  <c:v>1090.33</c:v>
                </c:pt>
                <c:pt idx="2">
                  <c:v>756.42</c:v>
                </c:pt>
                <c:pt idx="3">
                  <c:v>739.9</c:v>
                </c:pt>
                <c:pt idx="4">
                  <c:v>757.99</c:v>
                </c:pt>
                <c:pt idx="5">
                  <c:v>805.23</c:v>
                </c:pt>
                <c:pt idx="6">
                  <c:v>1082.72</c:v>
                </c:pt>
                <c:pt idx="7">
                  <c:v>799.78</c:v>
                </c:pt>
                <c:pt idx="8">
                  <c:v>737.42</c:v>
                </c:pt>
                <c:pt idx="9">
                  <c:v>400.43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1F-40E1-9960-889B338E3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181320"/>
        <c:axId val="743200776"/>
      </c:barChart>
      <c:catAx>
        <c:axId val="74318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200776"/>
        <c:crosses val="autoZero"/>
        <c:auto val="1"/>
        <c:lblAlgn val="ctr"/>
        <c:lblOffset val="100"/>
        <c:noMultiLvlLbl val="0"/>
      </c:catAx>
      <c:valAx>
        <c:axId val="74320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8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 analysis </a:t>
            </a:r>
          </a:p>
        </c:rich>
      </c:tx>
      <c:layout>
        <c:manualLayout>
          <c:xMode val="edge"/>
          <c:yMode val="edge"/>
          <c:x val="0.45261360044082888"/>
          <c:y val="1.08455222968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'mba project'!$B$103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project'!$A$104:$A$105</c:f>
              <c:strCache>
                <c:ptCount val="2"/>
                <c:pt idx="0">
                  <c:v>Amazon</c:v>
                </c:pt>
                <c:pt idx="1">
                  <c:v>Merchant</c:v>
                </c:pt>
              </c:strCache>
            </c:strRef>
          </c:cat>
          <c:val>
            <c:numRef>
              <c:f>'mba project'!$B$104:$B$105</c:f>
              <c:numCache>
                <c:formatCode>General</c:formatCode>
                <c:ptCount val="2"/>
                <c:pt idx="0">
                  <c:v>28442644</c:v>
                </c:pt>
                <c:pt idx="1">
                  <c:v>11673204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7-4E9C-8214-20FE8F96E65E}"/>
            </c:ext>
          </c:extLst>
        </c:ser>
        <c:ser>
          <c:idx val="1"/>
          <c:order val="1"/>
          <c:tx>
            <c:strRef>
              <c:f>'mba project'!$C$103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project'!$A$104:$A$105</c:f>
              <c:strCache>
                <c:ptCount val="2"/>
                <c:pt idx="0">
                  <c:v>Amazon</c:v>
                </c:pt>
                <c:pt idx="1">
                  <c:v>Merchant</c:v>
                </c:pt>
              </c:strCache>
            </c:strRef>
          </c:cat>
          <c:val>
            <c:numRef>
              <c:f>'mba project'!$C$104:$C$105</c:f>
              <c:numCache>
                <c:formatCode>General</c:formatCode>
                <c:ptCount val="2"/>
                <c:pt idx="0">
                  <c:v>44115</c:v>
                </c:pt>
                <c:pt idx="1">
                  <c:v>18586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7-4E9C-8214-20FE8F96E65E}"/>
            </c:ext>
          </c:extLst>
        </c:ser>
        <c:ser>
          <c:idx val="2"/>
          <c:order val="2"/>
          <c:tx>
            <c:strRef>
              <c:f>'mba project'!$D$103</c:f>
              <c:strCache>
                <c:ptCount val="1"/>
                <c:pt idx="0">
                  <c:v>avg_revenue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project'!$A$104:$A$105</c:f>
              <c:strCache>
                <c:ptCount val="2"/>
                <c:pt idx="0">
                  <c:v>Amazon</c:v>
                </c:pt>
                <c:pt idx="1">
                  <c:v>Merchant</c:v>
                </c:pt>
              </c:strCache>
            </c:strRef>
          </c:cat>
          <c:val>
            <c:numRef>
              <c:f>'mba project'!$D$104:$D$105</c:f>
              <c:numCache>
                <c:formatCode>General</c:formatCode>
                <c:ptCount val="2"/>
                <c:pt idx="0">
                  <c:v>644.74</c:v>
                </c:pt>
                <c:pt idx="1">
                  <c:v>628.05999999999995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77-4E9C-8214-20FE8F96E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2930951"/>
        <c:axId val="1102932999"/>
      </c:barChart>
      <c:catAx>
        <c:axId val="1102930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32999"/>
        <c:crosses val="autoZero"/>
        <c:auto val="1"/>
        <c:lblAlgn val="ctr"/>
        <c:lblOffset val="100"/>
        <c:noMultiLvlLbl val="0"/>
      </c:catAx>
      <c:valAx>
        <c:axId val="1102932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30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F8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'mba project'!$B$147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project'!$A$148:$A$157</c:f>
              <c:strCache>
                <c:ptCount val="10"/>
                <c:pt idx="0">
                  <c:v>Shipped</c:v>
                </c:pt>
                <c:pt idx="1">
                  <c:v>Shipped - Delivered to Buyer</c:v>
                </c:pt>
                <c:pt idx="2">
                  <c:v>Cancelled</c:v>
                </c:pt>
                <c:pt idx="3">
                  <c:v>Shipped - Returned to Seller</c:v>
                </c:pt>
                <c:pt idx="4">
                  <c:v>Shipped - Returning to Seller</c:v>
                </c:pt>
                <c:pt idx="5">
                  <c:v>Shipped - Picked Up</c:v>
                </c:pt>
                <c:pt idx="6">
                  <c:v>Pending</c:v>
                </c:pt>
                <c:pt idx="7">
                  <c:v>Shipped - Rejected by Buyer</c:v>
                </c:pt>
                <c:pt idx="8">
                  <c:v>Shipped - Lost in Transit</c:v>
                </c:pt>
                <c:pt idx="9">
                  <c:v>Shipped - Out for Delivery</c:v>
                </c:pt>
              </c:strCache>
            </c:strRef>
          </c:cat>
          <c:val>
            <c:numRef>
              <c:f>'mba project'!$B$148:$B$157</c:f>
              <c:numCache>
                <c:formatCode>General</c:formatCode>
                <c:ptCount val="10"/>
                <c:pt idx="0">
                  <c:v>41081</c:v>
                </c:pt>
                <c:pt idx="1">
                  <c:v>17190</c:v>
                </c:pt>
                <c:pt idx="2">
                  <c:v>5834</c:v>
                </c:pt>
                <c:pt idx="3">
                  <c:v>1280</c:v>
                </c:pt>
                <c:pt idx="4">
                  <c:v>11</c:v>
                </c:pt>
                <c:pt idx="5">
                  <c:v>8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F-4AFA-9810-A0553425AE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9782151"/>
        <c:axId val="219804679"/>
      </c:barChart>
      <c:catAx>
        <c:axId val="219782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804679"/>
        <c:crosses val="autoZero"/>
        <c:auto val="1"/>
        <c:lblAlgn val="ctr"/>
        <c:lblOffset val="100"/>
        <c:noMultiLvlLbl val="0"/>
      </c:catAx>
      <c:valAx>
        <c:axId val="219804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8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'mba project'!$B$163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37CEF"/>
              </a:solidFill>
              <a:ln w="9525"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69-40F3-AAD4-3793558ED3BA}"/>
              </c:ext>
            </c:extLst>
          </c:dPt>
          <c:cat>
            <c:strRef>
              <c:f>'mba project'!$A$164:$A$175</c:f>
              <c:strCache>
                <c:ptCount val="12"/>
                <c:pt idx="0">
                  <c:v>2004-01</c:v>
                </c:pt>
                <c:pt idx="1">
                  <c:v>2004-02</c:v>
                </c:pt>
                <c:pt idx="2">
                  <c:v>2004-03</c:v>
                </c:pt>
                <c:pt idx="3">
                  <c:v>2004-04</c:v>
                </c:pt>
                <c:pt idx="4">
                  <c:v>2004-05</c:v>
                </c:pt>
                <c:pt idx="5">
                  <c:v>2004-06</c:v>
                </c:pt>
                <c:pt idx="6">
                  <c:v>2004-07</c:v>
                </c:pt>
                <c:pt idx="7">
                  <c:v>2004-08</c:v>
                </c:pt>
                <c:pt idx="8">
                  <c:v>2004-09</c:v>
                </c:pt>
                <c:pt idx="9">
                  <c:v>2004-10</c:v>
                </c:pt>
                <c:pt idx="10">
                  <c:v>2004-11</c:v>
                </c:pt>
                <c:pt idx="11">
                  <c:v>2004-12</c:v>
                </c:pt>
              </c:strCache>
            </c:strRef>
          </c:cat>
          <c:val>
            <c:numRef>
              <c:f>'mba project'!$B$164:$B$175</c:f>
              <c:numCache>
                <c:formatCode>General</c:formatCode>
                <c:ptCount val="12"/>
                <c:pt idx="0">
                  <c:v>835337</c:v>
                </c:pt>
                <c:pt idx="1">
                  <c:v>882301</c:v>
                </c:pt>
                <c:pt idx="2">
                  <c:v>981822</c:v>
                </c:pt>
                <c:pt idx="3">
                  <c:v>853704</c:v>
                </c:pt>
                <c:pt idx="4">
                  <c:v>928221</c:v>
                </c:pt>
                <c:pt idx="5">
                  <c:v>854194</c:v>
                </c:pt>
                <c:pt idx="6">
                  <c:v>870482</c:v>
                </c:pt>
                <c:pt idx="7">
                  <c:v>975852</c:v>
                </c:pt>
                <c:pt idx="8">
                  <c:v>926664</c:v>
                </c:pt>
                <c:pt idx="9">
                  <c:v>1027735</c:v>
                </c:pt>
                <c:pt idx="10">
                  <c:v>902658</c:v>
                </c:pt>
                <c:pt idx="11">
                  <c:v>846989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9-40F3-AAD4-3793558ED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17057287"/>
        <c:axId val="772222983"/>
      </c:barChart>
      <c:catAx>
        <c:axId val="170572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222983"/>
        <c:crosses val="autoZero"/>
        <c:auto val="1"/>
        <c:lblAlgn val="ctr"/>
        <c:lblOffset val="100"/>
        <c:noMultiLvlLbl val="0"/>
      </c:catAx>
      <c:valAx>
        <c:axId val="772222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'mba project'!$I$165</c:f>
              <c:strCache>
                <c:ptCount val="1"/>
                <c:pt idx="0">
                  <c:v>units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02-4C68-9B49-933471A772A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02-4C68-9B49-933471A772A5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02-4C68-9B49-933471A772A5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602-4C68-9B49-933471A772A5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602-4C68-9B49-933471A772A5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602-4C68-9B49-933471A772A5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602-4C68-9B49-933471A772A5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602-4C68-9B49-933471A772A5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602-4C68-9B49-933471A772A5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602-4C68-9B49-933471A772A5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602-4C68-9B49-933471A772A5}"/>
              </c:ext>
            </c:extLst>
          </c:dPt>
          <c:dPt>
            <c:idx val="11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602-4C68-9B49-933471A772A5}"/>
              </c:ext>
            </c:extLst>
          </c:dPt>
          <c:cat>
            <c:strRef>
              <c:f>'mba project'!$H$166:$H$177</c:f>
              <c:strCache>
                <c:ptCount val="12"/>
                <c:pt idx="0">
                  <c:v>2004-01</c:v>
                </c:pt>
                <c:pt idx="1">
                  <c:v>2004-02</c:v>
                </c:pt>
                <c:pt idx="2">
                  <c:v>2004-03</c:v>
                </c:pt>
                <c:pt idx="3">
                  <c:v>2004-04</c:v>
                </c:pt>
                <c:pt idx="4">
                  <c:v>2004-05</c:v>
                </c:pt>
                <c:pt idx="5">
                  <c:v>2004-06</c:v>
                </c:pt>
                <c:pt idx="6">
                  <c:v>2004-07</c:v>
                </c:pt>
                <c:pt idx="7">
                  <c:v>2004-08</c:v>
                </c:pt>
                <c:pt idx="8">
                  <c:v>2004-09</c:v>
                </c:pt>
                <c:pt idx="9">
                  <c:v>2004-10</c:v>
                </c:pt>
                <c:pt idx="10">
                  <c:v>2004-11</c:v>
                </c:pt>
                <c:pt idx="11">
                  <c:v>2004-12</c:v>
                </c:pt>
              </c:strCache>
            </c:strRef>
          </c:cat>
          <c:val>
            <c:numRef>
              <c:f>'mba project'!$I$166:$I$177</c:f>
              <c:numCache>
                <c:formatCode>General</c:formatCode>
                <c:ptCount val="12"/>
                <c:pt idx="0">
                  <c:v>1319</c:v>
                </c:pt>
                <c:pt idx="1">
                  <c:v>1408</c:v>
                </c:pt>
                <c:pt idx="2">
                  <c:v>1544</c:v>
                </c:pt>
                <c:pt idx="3">
                  <c:v>1330</c:v>
                </c:pt>
                <c:pt idx="4">
                  <c:v>1486</c:v>
                </c:pt>
                <c:pt idx="5">
                  <c:v>1430</c:v>
                </c:pt>
                <c:pt idx="6">
                  <c:v>1377</c:v>
                </c:pt>
                <c:pt idx="7">
                  <c:v>1519</c:v>
                </c:pt>
                <c:pt idx="8">
                  <c:v>1462</c:v>
                </c:pt>
                <c:pt idx="9">
                  <c:v>1619</c:v>
                </c:pt>
                <c:pt idx="10">
                  <c:v>1396</c:v>
                </c:pt>
                <c:pt idx="11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C-4A3B-9B77-10F2B15DB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548235"/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value/revenue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5482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'mba project'!$H$147</c:f>
              <c:strCache>
                <c:ptCount val="1"/>
                <c:pt idx="0">
                  <c:v>value/revenue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'mba project'!$G$148:$G$156</c:f>
              <c:strCache>
                <c:ptCount val="9"/>
                <c:pt idx="0">
                  <c:v>Shipped</c:v>
                </c:pt>
                <c:pt idx="1">
                  <c:v>Shipped - Delivered to Buyer</c:v>
                </c:pt>
                <c:pt idx="2">
                  <c:v>Cancelled</c:v>
                </c:pt>
                <c:pt idx="3">
                  <c:v>Shipped - Returned to Seller</c:v>
                </c:pt>
                <c:pt idx="4">
                  <c:v>Shipped - Returning to Seller</c:v>
                </c:pt>
                <c:pt idx="5">
                  <c:v>Shipped - Picked Up</c:v>
                </c:pt>
                <c:pt idx="6">
                  <c:v>Pending</c:v>
                </c:pt>
                <c:pt idx="7">
                  <c:v>Shipped - Rejected by Buyer</c:v>
                </c:pt>
                <c:pt idx="8">
                  <c:v>Shipped - Lost in Transit</c:v>
                </c:pt>
              </c:strCache>
            </c:strRef>
          </c:cat>
          <c:val>
            <c:numRef>
              <c:f>'mba project'!$H$148:$H$156</c:f>
              <c:numCache>
                <c:formatCode>General</c:formatCode>
                <c:ptCount val="9"/>
                <c:pt idx="0">
                  <c:v>26530684</c:v>
                </c:pt>
                <c:pt idx="1">
                  <c:v>10844858</c:v>
                </c:pt>
                <c:pt idx="2">
                  <c:v>3695442</c:v>
                </c:pt>
                <c:pt idx="3">
                  <c:v>806780</c:v>
                </c:pt>
                <c:pt idx="4">
                  <c:v>9338</c:v>
                </c:pt>
                <c:pt idx="5">
                  <c:v>5040</c:v>
                </c:pt>
                <c:pt idx="6">
                  <c:v>4135</c:v>
                </c:pt>
                <c:pt idx="7">
                  <c:v>3396</c:v>
                </c:pt>
                <c:pt idx="8">
                  <c:v>1997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D-4D2E-9384-4899798A33D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3180295"/>
        <c:axId val="223182343"/>
      </c:lineChart>
      <c:catAx>
        <c:axId val="223180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182343"/>
        <c:crosses val="autoZero"/>
        <c:auto val="1"/>
        <c:lblAlgn val="ctr"/>
        <c:lblOffset val="100"/>
        <c:noMultiLvlLbl val="0"/>
      </c:catAx>
      <c:valAx>
        <c:axId val="223182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180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7</xdr:row>
      <xdr:rowOff>9525</xdr:rowOff>
    </xdr:from>
    <xdr:to>
      <xdr:col>6</xdr:col>
      <xdr:colOff>1724025</xdr:colOff>
      <xdr:row>21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338798-077C-6BBF-D2F2-EEBE56982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66675</xdr:colOff>
      <xdr:row>10</xdr:row>
      <xdr:rowOff>19050</xdr:rowOff>
    </xdr:from>
    <xdr:to>
      <xdr:col>9</xdr:col>
      <xdr:colOff>152400</xdr:colOff>
      <xdr:row>15</xdr:row>
      <xdr:rowOff>161925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6" name="customer_type">
              <a:extLst>
                <a:ext uri="{FF2B5EF4-FFF2-40B4-BE49-F238E27FC236}">
                  <a16:creationId xmlns:a16="http://schemas.microsoft.com/office/drawing/2014/main" id="{06D548F1-DC1A-1F9D-1D51-63DB3A016392}"/>
                </a:ext>
                <a:ext uri="{147F2762-F138-4A5C-976F-8EAC2B608ADB}">
                  <a16:predDERef xmlns:a16="http://schemas.microsoft.com/office/drawing/2014/main" pred="{EB338798-077C-6BBF-D2F2-EEBE569826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39800" y="2790825"/>
              <a:ext cx="2466975" cy="1971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6</xdr:col>
      <xdr:colOff>2171700</xdr:colOff>
      <xdr:row>29</xdr:row>
      <xdr:rowOff>276225</xdr:rowOff>
    </xdr:from>
    <xdr:to>
      <xdr:col>8</xdr:col>
      <xdr:colOff>581025</xdr:colOff>
      <xdr:row>39</xdr:row>
      <xdr:rowOff>28575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B450443A-90F5-B696-400B-A4DF6548DE52}"/>
                </a:ext>
                <a:ext uri="{147F2762-F138-4A5C-976F-8EAC2B608ADB}">
                  <a16:predDERef xmlns:a16="http://schemas.microsoft.com/office/drawing/2014/main" pred="{06D548F1-DC1A-1F9D-1D51-63DB3A0163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92150" y="8477250"/>
              <a:ext cx="25908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28</xdr:row>
      <xdr:rowOff>285750</xdr:rowOff>
    </xdr:from>
    <xdr:to>
      <xdr:col>6</xdr:col>
      <xdr:colOff>228600</xdr:colOff>
      <xdr:row>51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DBAF3FC-4D16-499C-8782-6C82F0CD54F0}"/>
            </a:ext>
            <a:ext uri="{147F2762-F138-4A5C-976F-8EAC2B608ADB}">
              <a16:predDERef xmlns:a16="http://schemas.microsoft.com/office/drawing/2014/main" pred="{B450443A-90F5-B696-400B-A4DF6548D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7</xdr:col>
      <xdr:colOff>628650</xdr:colOff>
      <xdr:row>62</xdr:row>
      <xdr:rowOff>85725</xdr:rowOff>
    </xdr:from>
    <xdr:to>
      <xdr:col>10</xdr:col>
      <xdr:colOff>47625</xdr:colOff>
      <xdr:row>79</xdr:row>
      <xdr:rowOff>38100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15" name="sku">
              <a:extLst>
                <a:ext uri="{FF2B5EF4-FFF2-40B4-BE49-F238E27FC236}">
                  <a16:creationId xmlns:a16="http://schemas.microsoft.com/office/drawing/2014/main" id="{8E98678B-71C9-6220-D09F-24B92041CBB7}"/>
                </a:ext>
                <a:ext uri="{147F2762-F138-4A5C-976F-8EAC2B608ADB}">
                  <a16:predDERef xmlns:a16="http://schemas.microsoft.com/office/drawing/2014/main" pred="{EDBAF3FC-4D16-499C-8782-6C82F0CD54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44675" y="15973425"/>
              <a:ext cx="2409825" cy="3190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9525</xdr:colOff>
      <xdr:row>59</xdr:row>
      <xdr:rowOff>133350</xdr:rowOff>
    </xdr:from>
    <xdr:to>
      <xdr:col>6</xdr:col>
      <xdr:colOff>1838325</xdr:colOff>
      <xdr:row>90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BF3ACFE-28A6-ACE0-2747-01262008AEE0}"/>
            </a:ext>
            <a:ext uri="{147F2762-F138-4A5C-976F-8EAC2B608ADB}">
              <a16:predDERef xmlns:a16="http://schemas.microsoft.com/office/drawing/2014/main" pred="{8E98678B-71C9-6220-D09F-24B92041C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98</xdr:row>
      <xdr:rowOff>95250</xdr:rowOff>
    </xdr:from>
    <xdr:to>
      <xdr:col>4</xdr:col>
      <xdr:colOff>1219200</xdr:colOff>
      <xdr:row>136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EAED0-2F05-F164-983D-096434C907BC}"/>
            </a:ext>
            <a:ext uri="{147F2762-F138-4A5C-976F-8EAC2B608ADB}">
              <a16:predDERef xmlns:a16="http://schemas.microsoft.com/office/drawing/2014/main" pred="{CBF3ACFE-28A6-ACE0-2747-01262008A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6</xdr:col>
      <xdr:colOff>933450</xdr:colOff>
      <xdr:row>112</xdr:row>
      <xdr:rowOff>104775</xdr:rowOff>
    </xdr:from>
    <xdr:to>
      <xdr:col>7</xdr:col>
      <xdr:colOff>1114425</xdr:colOff>
      <xdr:row>120</xdr:row>
      <xdr:rowOff>38100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fulfilment 1">
              <a:extLst>
                <a:ext uri="{FF2B5EF4-FFF2-40B4-BE49-F238E27FC236}">
                  <a16:creationId xmlns:a16="http://schemas.microsoft.com/office/drawing/2014/main" id="{C0F42BDF-A234-E2E6-4284-F4955473F21B}"/>
                </a:ext>
                <a:ext uri="{147F2762-F138-4A5C-976F-8EAC2B608ADB}">
                  <a16:predDERef xmlns:a16="http://schemas.microsoft.com/office/drawing/2014/main" pred="{FCAEAED0-2F05-F164-983D-096434C907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lfil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3725" y="27374850"/>
              <a:ext cx="2590800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1619250</xdr:colOff>
      <xdr:row>115</xdr:row>
      <xdr:rowOff>104775</xdr:rowOff>
    </xdr:from>
    <xdr:to>
      <xdr:col>6</xdr:col>
      <xdr:colOff>266700</xdr:colOff>
      <xdr:row>118</xdr:row>
      <xdr:rowOff>38100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3A629ABF-7774-77D1-9FB7-1AABCCFB0E25}"/>
            </a:ext>
            <a:ext uri="{147F2762-F138-4A5C-976F-8EAC2B608ADB}">
              <a16:predDERef xmlns:a16="http://schemas.microsoft.com/office/drawing/2014/main" pred="{C0F42BDF-A234-E2E6-4284-F4955473F21B}"/>
            </a:ext>
          </a:extLst>
        </xdr:cNvPr>
        <xdr:cNvSpPr/>
      </xdr:nvSpPr>
      <xdr:spPr>
        <a:xfrm>
          <a:off x="9020175" y="25908000"/>
          <a:ext cx="2324100" cy="504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47625</xdr:colOff>
      <xdr:row>145</xdr:row>
      <xdr:rowOff>171450</xdr:rowOff>
    </xdr:from>
    <xdr:to>
      <xdr:col>5</xdr:col>
      <xdr:colOff>1114425</xdr:colOff>
      <xdr:row>156</xdr:row>
      <xdr:rowOff>381000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09D81D8-C466-D21B-18B1-10B6EBE4A297}"/>
            </a:ext>
            <a:ext uri="{147F2762-F138-4A5C-976F-8EAC2B608ADB}">
              <a16:predDERef xmlns:a16="http://schemas.microsoft.com/office/drawing/2014/main" pred="{3A629ABF-7774-77D1-9FB7-1AABCCFB0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1562100</xdr:colOff>
      <xdr:row>163</xdr:row>
      <xdr:rowOff>323850</xdr:rowOff>
    </xdr:from>
    <xdr:to>
      <xdr:col>6</xdr:col>
      <xdr:colOff>9525</xdr:colOff>
      <xdr:row>178</xdr:row>
      <xdr:rowOff>28575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FA7CD92-0954-D931-B4D2-EE5FB1F9BD7E}"/>
            </a:ext>
            <a:ext uri="{147F2762-F138-4A5C-976F-8EAC2B608ADB}">
              <a16:predDERef xmlns:a16="http://schemas.microsoft.com/office/drawing/2014/main" pred="{BBC64BDC-B94D-4A4C-A7C1-EB58B505F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162</xdr:row>
      <xdr:rowOff>38100</xdr:rowOff>
    </xdr:from>
    <xdr:to>
      <xdr:col>11</xdr:col>
      <xdr:colOff>266700</xdr:colOff>
      <xdr:row>178</xdr:row>
      <xdr:rowOff>38100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CD83733-0496-D46A-66E8-A578E60244B6}"/>
            </a:ext>
            <a:ext uri="{147F2762-F138-4A5C-976F-8EAC2B608ADB}">
              <a16:predDERef xmlns:a16="http://schemas.microsoft.com/office/drawing/2014/main" pred="{AFA7CD92-0954-D931-B4D2-EE5FB1F9B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1114425</xdr:colOff>
      <xdr:row>145</xdr:row>
      <xdr:rowOff>114300</xdr:rowOff>
    </xdr:from>
    <xdr:to>
      <xdr:col>9</xdr:col>
      <xdr:colOff>552450</xdr:colOff>
      <xdr:row>156</xdr:row>
      <xdr:rowOff>361950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36DE4E0-0DF4-88D3-D202-5A5A9C44DF4C}"/>
            </a:ext>
            <a:ext uri="{147F2762-F138-4A5C-976F-8EAC2B608ADB}">
              <a16:predDERef xmlns:a16="http://schemas.microsoft.com/office/drawing/2014/main" pred="{5CD83733-0496-D46A-66E8-A578E6024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type" xr10:uid="{D38C5A88-E578-4522-920B-993D6AB36AC7}" sourceName="customer_type">
  <extLst>
    <x:ext xmlns:x15="http://schemas.microsoft.com/office/spreadsheetml/2010/11/main" uri="{2F2917AC-EB37-4324-AD4E-5DD8C200BD13}">
      <x15:tableSlicerCache tableId="3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898EE00-B07F-4526-BD64-40756DB9347A}" sourceName="Category">
  <extLst>
    <x:ext xmlns:x15="http://schemas.microsoft.com/office/spreadsheetml/2010/11/main" uri="{2F2917AC-EB37-4324-AD4E-5DD8C200BD13}">
      <x15:tableSlicerCache tableId="5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ku" xr10:uid="{5C9FC560-882D-4C0A-96A3-2D0C62CA6E70}" sourceName="sku">
  <extLst>
    <x:ext xmlns:x15="http://schemas.microsoft.com/office/spreadsheetml/2010/11/main" uri="{2F2917AC-EB37-4324-AD4E-5DD8C200BD13}">
      <x15:tableSlicerCache tableId="6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ulfilment1" xr10:uid="{1B91C157-B422-4878-ADD1-1AD9FAD0B9B0}" sourceName="fulfilment">
  <extLst>
    <x:ext xmlns:x15="http://schemas.microsoft.com/office/spreadsheetml/2010/11/main" uri="{2F2917AC-EB37-4324-AD4E-5DD8C200BD13}">
      <x15:tableSlicerCache tableId="2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_type" xr10:uid="{AD183FA0-7530-4A01-AC7E-5C9312C3AC7F}" cache="Slicer_customer_type" caption="customer_type" rowHeight="228600"/>
  <slicer name="Category" xr10:uid="{D006C934-C7D6-41C0-9AD2-8E179AB5421B}" cache="Slicer_Category" caption="Category" rowHeight="228600"/>
  <slicer name="sku" xr10:uid="{43984A34-9CB6-4DD8-9844-4BCFEC49F74F}" cache="Slicer_sku" caption="sku" rowHeight="228600"/>
  <slicer name="fulfilment 1" xr10:uid="{6A083DC8-606B-4188-BE42-7BE15DA3A886}" cache="Slicer_fulfilment1" caption="fulfilme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81768C-66F3-4B22-B7A8-4D7DADF69F19}" name="Table3" displayName="Table3" ref="A12:C16" totalsRowShown="0" headerRowDxfId="21" dataDxfId="20">
  <autoFilter ref="A12:C16" xr:uid="{4581768C-66F3-4B22-B7A8-4D7DADF69F19}"/>
  <tableColumns count="3">
    <tableColumn id="1" xr3:uid="{207E5CC0-F2BF-454B-8CA0-A6E64F97CFF6}" name="customer_type" dataDxfId="19"/>
    <tableColumn id="2" xr3:uid="{112B6851-DD79-4068-8122-65BEF6061E04}" name="B2C" dataDxfId="18"/>
    <tableColumn id="3" xr3:uid="{D35EEEE2-FE41-451E-A279-BCFEC3003C4E}" name="B2B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B4770F-9172-4415-B84C-0420E09D30B7}" name="Table46" displayName="Table46" ref="C33:E41" totalsRowShown="0" headerRowDxfId="16" dataDxfId="15">
  <autoFilter ref="C33:E41" xr:uid="{65B4770F-9172-4415-B84C-0420E09D30B7}"/>
  <tableColumns count="3">
    <tableColumn id="1" xr3:uid="{9EFE6376-D8B9-453D-A797-6B0EC37CAF72}" name="Category" dataDxfId="14"/>
    <tableColumn id="2" xr3:uid="{EBECA14E-5A42-434D-8628-A3DACB39BCDE}" name="total_revenue" dataDxfId="13"/>
    <tableColumn id="3" xr3:uid="{665118E5-0CBF-41D2-9E97-CFE577221847}" name="total_units_sold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E31809-6F15-4003-86BF-7138CD774F27}" name="Table6" displayName="Table6" ref="C62:F72" totalsRowShown="0">
  <autoFilter ref="C62:F72" xr:uid="{A3E31809-6F15-4003-86BF-7138CD774F27}"/>
  <tableColumns count="4">
    <tableColumn id="1" xr3:uid="{C0628269-186D-4A98-BE61-77A6ECA4B683}" name="sku"/>
    <tableColumn id="2" xr3:uid="{89B9EC87-E726-4762-A468-9B1D42419721}" name="total_revenue"/>
    <tableColumn id="3" xr3:uid="{71D785C0-8FB6-401A-AD06-9F7CE1C6F6BC}" name="total_units_sold"/>
    <tableColumn id="4" xr3:uid="{9AA8155B-604F-4E9F-B3F5-5130998F5B28}" name="avg_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B8F5D6-41C8-459C-ACB8-60AAC270A157}" name="Table13" displayName="Table13" ref="A103:D105" totalsRowShown="0">
  <autoFilter ref="A103:D105" xr:uid="{12B8F5D6-41C8-459C-ACB8-60AAC270A157}"/>
  <tableColumns count="4">
    <tableColumn id="1" xr3:uid="{448D498E-643F-48E8-8CD3-AEEF0F8C03EF}" name="fulfilment"/>
    <tableColumn id="2" xr3:uid="{8A5E4797-E059-43B2-AA8E-8CC4361AE4C0}" name="total_revenue"/>
    <tableColumn id="3" xr3:uid="{55C82E31-5A92-48C2-8E45-B350CBD711B2}" name="total_sales"/>
    <tableColumn id="4" xr3:uid="{7910B321-F8E2-46E8-8F1F-FCC11F53AC10}" name="avg_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E8D6A8-A016-49FF-A946-E0B1FE4E1770}" name="Table1" displayName="Table1" ref="A147:C157" totalsRowShown="0" headerRowDxfId="11">
  <autoFilter ref="A147:C157" xr:uid="{6BE8D6A8-A016-49FF-A946-E0B1FE4E1770}"/>
  <tableColumns count="3">
    <tableColumn id="1" xr3:uid="{33B9E19F-F7D6-40CF-877B-91B64085F657}" name="Status"/>
    <tableColumn id="2" xr3:uid="{6B7E399D-34FB-494B-A536-3B8BDFE43EA8}" name="orders"/>
    <tableColumn id="3" xr3:uid="{55DD11F8-D0C1-40B7-BE4E-D5B1CA2FAD27}" name="value/revenue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8FBBE4-332F-40EC-B5B2-FCA41F1CF627}" name="Table7" displayName="Table7" ref="A163:C175" totalsRowShown="0" headerRowDxfId="10" dataDxfId="9">
  <autoFilter ref="A163:C175" xr:uid="{138FBBE4-332F-40EC-B5B2-FCA41F1CF627}"/>
  <tableColumns count="3">
    <tableColumn id="1" xr3:uid="{BD586429-0176-4EBC-A6A9-0FE7F6CBB85C}" name="month" dataDxfId="8"/>
    <tableColumn id="2" xr3:uid="{782A9EB0-F92F-4572-8488-F3151F975C33}" name="revenue" dataDxfId="7"/>
    <tableColumn id="3" xr3:uid="{85DF2778-5437-4B47-BE47-DCF7A51B05D5}" name="units" dataDxfId="6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1AA767-4ABB-42C7-8FC3-58512E36738C}" name="Table8" displayName="Table8" ref="H165:I177" totalsRowShown="0">
  <autoFilter ref="H165:I177" xr:uid="{001AA767-4ABB-42C7-8FC3-58512E36738C}"/>
  <tableColumns count="2">
    <tableColumn id="1" xr3:uid="{37DC5C32-0ECF-4BD2-BFBA-8A60380FFDB8}" name="Column1"/>
    <tableColumn id="2" xr3:uid="{89E04D01-4151-4373-98A8-D3B77B1ED319}" name="uni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29BA42C-4DB1-4BD0-86D1-E49A639018CC}" name="Table1113" displayName="Table1113" ref="G147:H156" totalsRowShown="0" headerRowDxfId="5" headerRowBorderDxfId="3" tableBorderDxfId="4" totalsRowBorderDxfId="2">
  <autoFilter ref="G147:H156" xr:uid="{329BA42C-4DB1-4BD0-86D1-E49A639018CC}"/>
  <tableColumns count="2">
    <tableColumn id="1" xr3:uid="{401B59AE-9F78-4929-8D14-07A8A600E7F4}" name="Status" dataDxfId="1"/>
    <tableColumn id="2" xr3:uid="{2D120E75-E865-49BD-BB79-402BCEF1A887}" name="value/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microsoft.com/office/2007/relationships/slicer" Target="../slicers/slicer1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81"/>
  <sheetViews>
    <sheetView tabSelected="1" workbookViewId="0">
      <selection activeCell="A140" sqref="A140"/>
    </sheetView>
  </sheetViews>
  <sheetFormatPr defaultRowHeight="15"/>
  <cols>
    <col min="1" max="2" width="29.5703125" style="1" customWidth="1"/>
    <col min="3" max="3" width="23.85546875" style="1" customWidth="1"/>
    <col min="4" max="4" width="28" style="1" bestFit="1" customWidth="1"/>
    <col min="5" max="5" width="24.5703125" style="1" bestFit="1" customWidth="1"/>
    <col min="6" max="6" width="32.7109375" style="1" customWidth="1"/>
    <col min="7" max="7" width="36.140625" style="1" customWidth="1"/>
    <col min="8" max="8" width="26.5703125" style="1" customWidth="1"/>
    <col min="9" max="16384" width="9.140625" style="1"/>
  </cols>
  <sheetData>
    <row r="2" spans="1:9" s="24" customFormat="1" ht="53.25" customHeight="1">
      <c r="D2" s="45" t="s">
        <v>0</v>
      </c>
      <c r="E2" s="45"/>
      <c r="F2" s="45"/>
      <c r="G2" s="45"/>
      <c r="H2" s="25"/>
    </row>
    <row r="3" spans="1:9" ht="53.25" customHeight="1">
      <c r="D3" s="6" t="s">
        <v>1</v>
      </c>
      <c r="E3" s="4">
        <v>128123</v>
      </c>
      <c r="F3" s="8">
        <v>62701</v>
      </c>
      <c r="G3" s="10">
        <v>0.51060000000000005</v>
      </c>
      <c r="H3" s="2"/>
    </row>
    <row r="4" spans="1:9" ht="53.25" customHeight="1">
      <c r="D4" s="7" t="s">
        <v>2</v>
      </c>
      <c r="E4" s="5" t="s">
        <v>3</v>
      </c>
      <c r="F4" s="9" t="s">
        <v>4</v>
      </c>
      <c r="G4" s="26" t="s">
        <v>5</v>
      </c>
      <c r="H4" s="3"/>
    </row>
    <row r="5" spans="1:9">
      <c r="E5" s="2"/>
      <c r="F5" s="2"/>
      <c r="G5" s="2"/>
      <c r="H5" s="2"/>
    </row>
    <row r="6" spans="1:9" s="18" customFormat="1" ht="15" customHeight="1">
      <c r="E6" s="19"/>
      <c r="F6" s="19"/>
      <c r="G6" s="19"/>
      <c r="H6" s="22"/>
      <c r="I6" s="23"/>
    </row>
    <row r="7" spans="1:9" ht="15" customHeight="1">
      <c r="E7" s="2"/>
      <c r="F7" s="2"/>
      <c r="G7" s="2"/>
      <c r="H7" s="20"/>
      <c r="I7" s="21"/>
    </row>
    <row r="8" spans="1:9" ht="15" customHeight="1">
      <c r="A8" s="48" t="s">
        <v>6</v>
      </c>
      <c r="B8" s="48"/>
      <c r="C8" s="48"/>
      <c r="H8" s="21"/>
      <c r="I8" s="21"/>
    </row>
    <row r="9" spans="1:9" ht="15" customHeight="1">
      <c r="A9" s="48"/>
      <c r="B9" s="48"/>
      <c r="C9" s="48"/>
    </row>
    <row r="10" spans="1:9" ht="15" customHeight="1">
      <c r="A10" s="48"/>
      <c r="B10" s="48"/>
      <c r="C10" s="48"/>
    </row>
    <row r="12" spans="1:9" ht="32.25" customHeight="1">
      <c r="A12" s="11" t="s">
        <v>7</v>
      </c>
      <c r="B12" s="11" t="s">
        <v>8</v>
      </c>
      <c r="C12" s="11" t="s">
        <v>9</v>
      </c>
    </row>
    <row r="13" spans="1:9" ht="32.25" customHeight="1">
      <c r="A13" s="16" t="s">
        <v>10</v>
      </c>
      <c r="B13" s="12">
        <v>62018</v>
      </c>
      <c r="C13" s="12">
        <v>458</v>
      </c>
    </row>
    <row r="14" spans="1:9" ht="32.25" customHeight="1">
      <c r="A14" s="16" t="s">
        <v>11</v>
      </c>
      <c r="B14" s="12">
        <v>62231</v>
      </c>
      <c r="C14" s="12">
        <v>470</v>
      </c>
    </row>
    <row r="15" spans="1:9" ht="32.25" customHeight="1">
      <c r="A15" s="16" t="s">
        <v>12</v>
      </c>
      <c r="B15" s="12">
        <v>39792373</v>
      </c>
      <c r="C15" s="12">
        <v>323475</v>
      </c>
    </row>
    <row r="16" spans="1:9" ht="32.25" customHeight="1">
      <c r="A16" s="16" t="s">
        <v>13</v>
      </c>
      <c r="B16" s="12">
        <v>639.42999999999995</v>
      </c>
      <c r="C16" s="12">
        <v>688.24</v>
      </c>
    </row>
    <row r="24" spans="2:5" s="17" customFormat="1"/>
    <row r="26" spans="2:5">
      <c r="B26" s="46" t="s">
        <v>14</v>
      </c>
      <c r="C26" s="47"/>
      <c r="D26" s="47"/>
      <c r="E26" s="47"/>
    </row>
    <row r="27" spans="2:5">
      <c r="B27" s="47"/>
      <c r="C27" s="47"/>
      <c r="D27" s="47"/>
      <c r="E27" s="47"/>
    </row>
    <row r="28" spans="2:5">
      <c r="B28" s="47"/>
      <c r="C28" s="47"/>
      <c r="D28" s="47"/>
      <c r="E28" s="47"/>
    </row>
    <row r="29" spans="2:5" ht="24.75" customHeight="1"/>
    <row r="30" spans="2:5" ht="24.75" customHeight="1"/>
    <row r="31" spans="2:5" ht="24.75" customHeight="1"/>
    <row r="32" spans="2:5" ht="24.75" customHeight="1"/>
    <row r="33" spans="3:5" ht="24.75" customHeight="1">
      <c r="C33" s="13" t="s">
        <v>15</v>
      </c>
      <c r="D33" s="13" t="s">
        <v>12</v>
      </c>
      <c r="E33" s="13" t="s">
        <v>11</v>
      </c>
    </row>
    <row r="34" spans="3:5" ht="24.75" customHeight="1">
      <c r="C34" s="14" t="s">
        <v>16</v>
      </c>
      <c r="D34" s="15">
        <v>20505818</v>
      </c>
      <c r="E34" s="15">
        <v>24763</v>
      </c>
    </row>
    <row r="35" spans="3:5" ht="24.75" customHeight="1">
      <c r="C35" s="14" t="s">
        <v>17</v>
      </c>
      <c r="D35" s="15">
        <v>10672543</v>
      </c>
      <c r="E35" s="15">
        <v>23835</v>
      </c>
    </row>
    <row r="36" spans="3:5" ht="24.75" customHeight="1">
      <c r="C36" s="14" t="s">
        <v>18</v>
      </c>
      <c r="D36" s="15">
        <v>5283184</v>
      </c>
      <c r="E36" s="15">
        <v>6980</v>
      </c>
    </row>
    <row r="37" spans="3:5" ht="24.75" customHeight="1">
      <c r="C37" s="14" t="s">
        <v>19</v>
      </c>
      <c r="D37" s="15">
        <v>2857728</v>
      </c>
      <c r="E37" s="15">
        <v>5740</v>
      </c>
    </row>
    <row r="38" spans="3:5" ht="23.25">
      <c r="C38" s="14" t="s">
        <v>20</v>
      </c>
      <c r="D38" s="15">
        <v>387349</v>
      </c>
      <c r="E38" s="15">
        <v>534</v>
      </c>
    </row>
    <row r="39" spans="3:5" ht="23.25">
      <c r="C39" s="14" t="s">
        <v>21</v>
      </c>
      <c r="D39" s="15">
        <v>254639</v>
      </c>
      <c r="E39" s="15">
        <v>518</v>
      </c>
    </row>
    <row r="40" spans="3:5" ht="23.25">
      <c r="C40" s="14" t="s">
        <v>22</v>
      </c>
      <c r="D40" s="15">
        <v>88194</v>
      </c>
      <c r="E40" s="15">
        <v>244</v>
      </c>
    </row>
    <row r="41" spans="3:5" ht="23.25">
      <c r="C41" s="14" t="s">
        <v>23</v>
      </c>
      <c r="D41" s="15">
        <v>66393</v>
      </c>
      <c r="E41" s="15">
        <v>87</v>
      </c>
    </row>
    <row r="53" spans="2:6" s="18" customFormat="1"/>
    <row r="56" spans="2:6">
      <c r="B56" s="43" t="s">
        <v>24</v>
      </c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62" spans="2:6">
      <c r="C62" t="s">
        <v>25</v>
      </c>
      <c r="D62" t="s">
        <v>12</v>
      </c>
      <c r="E62" t="s">
        <v>11</v>
      </c>
      <c r="F62" t="s">
        <v>13</v>
      </c>
    </row>
    <row r="63" spans="2:6">
      <c r="C63" t="s">
        <v>26</v>
      </c>
      <c r="D63">
        <v>348823</v>
      </c>
      <c r="E63">
        <v>326</v>
      </c>
      <c r="F63">
        <v>1070.01</v>
      </c>
    </row>
    <row r="64" spans="2:6">
      <c r="C64" t="s">
        <v>27</v>
      </c>
      <c r="D64">
        <v>296569</v>
      </c>
      <c r="E64">
        <v>272</v>
      </c>
      <c r="F64">
        <v>1090.33</v>
      </c>
    </row>
    <row r="65" spans="3:6">
      <c r="C65" t="s">
        <v>28</v>
      </c>
      <c r="D65">
        <v>234490</v>
      </c>
      <c r="E65">
        <v>310</v>
      </c>
      <c r="F65">
        <v>756.42</v>
      </c>
    </row>
    <row r="66" spans="3:6">
      <c r="C66" t="s">
        <v>29</v>
      </c>
      <c r="D66">
        <v>226408</v>
      </c>
      <c r="E66">
        <v>306</v>
      </c>
      <c r="F66">
        <v>739.9</v>
      </c>
    </row>
    <row r="67" spans="3:6">
      <c r="C67" t="s">
        <v>30</v>
      </c>
      <c r="D67">
        <v>220576</v>
      </c>
      <c r="E67">
        <v>291</v>
      </c>
      <c r="F67">
        <v>757.99</v>
      </c>
    </row>
    <row r="68" spans="3:6">
      <c r="C68" t="s">
        <v>31</v>
      </c>
      <c r="D68">
        <v>170708</v>
      </c>
      <c r="E68">
        <v>212</v>
      </c>
      <c r="F68">
        <v>805.23</v>
      </c>
    </row>
    <row r="69" spans="3:6">
      <c r="C69" t="s">
        <v>32</v>
      </c>
      <c r="D69">
        <v>167822</v>
      </c>
      <c r="E69">
        <v>155</v>
      </c>
      <c r="F69">
        <v>1082.72</v>
      </c>
    </row>
    <row r="70" spans="3:6">
      <c r="C70" t="s">
        <v>33</v>
      </c>
      <c r="D70">
        <v>160755</v>
      </c>
      <c r="E70">
        <v>201</v>
      </c>
      <c r="F70">
        <v>799.78</v>
      </c>
    </row>
    <row r="71" spans="3:6">
      <c r="C71" t="s">
        <v>34</v>
      </c>
      <c r="D71">
        <v>160021</v>
      </c>
      <c r="E71">
        <v>217</v>
      </c>
      <c r="F71">
        <v>737.42</v>
      </c>
    </row>
    <row r="72" spans="3:6">
      <c r="C72" t="s">
        <v>35</v>
      </c>
      <c r="D72">
        <v>152564</v>
      </c>
      <c r="E72">
        <v>381</v>
      </c>
      <c r="F72">
        <v>400.43</v>
      </c>
    </row>
    <row r="93" s="18" customFormat="1"/>
    <row r="103" spans="1:4">
      <c r="A103" t="s">
        <v>36</v>
      </c>
      <c r="B103" t="s">
        <v>12</v>
      </c>
      <c r="C103" t="s">
        <v>37</v>
      </c>
      <c r="D103" t="s">
        <v>13</v>
      </c>
    </row>
    <row r="104" spans="1:4">
      <c r="A104" t="s">
        <v>38</v>
      </c>
      <c r="B104">
        <v>28442644</v>
      </c>
      <c r="C104">
        <v>44115</v>
      </c>
      <c r="D104">
        <v>644.74</v>
      </c>
    </row>
    <row r="105" spans="1:4">
      <c r="A105" t="s">
        <v>39</v>
      </c>
      <c r="B105">
        <v>11673204</v>
      </c>
      <c r="C105">
        <v>18586</v>
      </c>
      <c r="D105">
        <v>628.05999999999995</v>
      </c>
    </row>
    <row r="115" spans="6:6">
      <c r="F115" s="49" t="s">
        <v>40</v>
      </c>
    </row>
    <row r="116" spans="6:6">
      <c r="F116" s="50"/>
    </row>
    <row r="139" spans="4:6" s="18" customFormat="1"/>
    <row r="140" spans="4:6" ht="317.25" customHeight="1"/>
    <row r="141" spans="4:6">
      <c r="D141" s="40" t="s">
        <v>41</v>
      </c>
      <c r="E141" s="41"/>
      <c r="F141" s="41"/>
    </row>
    <row r="142" spans="4:6">
      <c r="D142" s="41"/>
      <c r="E142" s="41"/>
      <c r="F142" s="41"/>
    </row>
    <row r="143" spans="4:6">
      <c r="D143" s="41"/>
      <c r="E143" s="41"/>
      <c r="F143" s="41"/>
    </row>
    <row r="146" spans="1:8">
      <c r="G146" s="2"/>
      <c r="H146" s="2"/>
    </row>
    <row r="147" spans="1:8" ht="30.75" customHeight="1">
      <c r="A147" s="27" t="s">
        <v>42</v>
      </c>
      <c r="B147" s="27" t="s">
        <v>43</v>
      </c>
      <c r="C147" s="27" t="s">
        <v>44</v>
      </c>
      <c r="D147" s="2"/>
      <c r="G147" s="38" t="s">
        <v>42</v>
      </c>
      <c r="H147" s="39" t="s">
        <v>44</v>
      </c>
    </row>
    <row r="148" spans="1:8" ht="30.75" customHeight="1">
      <c r="A148" t="s">
        <v>45</v>
      </c>
      <c r="B148" s="28">
        <v>41081</v>
      </c>
      <c r="C148">
        <v>26530684</v>
      </c>
      <c r="D148" s="2"/>
      <c r="G148" s="34" t="s">
        <v>45</v>
      </c>
      <c r="H148" s="29">
        <v>26530684</v>
      </c>
    </row>
    <row r="149" spans="1:8" ht="30.75" customHeight="1">
      <c r="A149" t="s">
        <v>46</v>
      </c>
      <c r="B149">
        <v>17190</v>
      </c>
      <c r="C149">
        <v>10844858</v>
      </c>
      <c r="D149" s="2"/>
      <c r="G149" s="35" t="s">
        <v>46</v>
      </c>
      <c r="H149" s="30">
        <v>10844858</v>
      </c>
    </row>
    <row r="150" spans="1:8" ht="30.75" customHeight="1">
      <c r="A150" t="s">
        <v>47</v>
      </c>
      <c r="B150">
        <v>5834</v>
      </c>
      <c r="C150">
        <v>3695442</v>
      </c>
      <c r="D150" s="2"/>
      <c r="G150" s="34" t="s">
        <v>47</v>
      </c>
      <c r="H150" s="29">
        <v>3695442</v>
      </c>
    </row>
    <row r="151" spans="1:8" ht="30.75" customHeight="1">
      <c r="A151" t="s">
        <v>48</v>
      </c>
      <c r="B151">
        <v>1280</v>
      </c>
      <c r="C151">
        <v>806780</v>
      </c>
      <c r="D151" s="2"/>
      <c r="G151" s="35" t="s">
        <v>48</v>
      </c>
      <c r="H151" s="30">
        <v>806780</v>
      </c>
    </row>
    <row r="152" spans="1:8" ht="30.75" customHeight="1">
      <c r="A152" t="s">
        <v>49</v>
      </c>
      <c r="B152">
        <v>11</v>
      </c>
      <c r="C152">
        <v>9338</v>
      </c>
      <c r="D152" s="2"/>
      <c r="G152" s="34" t="s">
        <v>49</v>
      </c>
      <c r="H152" s="29">
        <v>9338</v>
      </c>
    </row>
    <row r="153" spans="1:8" ht="30.75" customHeight="1">
      <c r="A153" t="s">
        <v>50</v>
      </c>
      <c r="B153">
        <v>8</v>
      </c>
      <c r="C153">
        <v>5040</v>
      </c>
      <c r="D153" s="2"/>
      <c r="G153" s="35" t="s">
        <v>50</v>
      </c>
      <c r="H153" s="30">
        <v>5040</v>
      </c>
    </row>
    <row r="154" spans="1:8" ht="30.75" customHeight="1">
      <c r="A154" t="s">
        <v>51</v>
      </c>
      <c r="B154">
        <v>5</v>
      </c>
      <c r="C154">
        <v>4135</v>
      </c>
      <c r="D154" s="2"/>
      <c r="G154" s="34" t="s">
        <v>51</v>
      </c>
      <c r="H154" s="29">
        <v>4135</v>
      </c>
    </row>
    <row r="155" spans="1:8" ht="30.75" customHeight="1">
      <c r="A155" t="s">
        <v>52</v>
      </c>
      <c r="B155">
        <v>6</v>
      </c>
      <c r="C155">
        <v>3396</v>
      </c>
      <c r="D155" s="2"/>
      <c r="G155" s="35" t="s">
        <v>52</v>
      </c>
      <c r="H155" s="30">
        <v>3396</v>
      </c>
    </row>
    <row r="156" spans="1:8" ht="30.75" customHeight="1">
      <c r="A156" t="s">
        <v>53</v>
      </c>
      <c r="B156">
        <v>5</v>
      </c>
      <c r="C156">
        <v>1997</v>
      </c>
      <c r="D156" s="2"/>
      <c r="G156" s="34" t="s">
        <v>53</v>
      </c>
      <c r="H156" s="29">
        <v>1997</v>
      </c>
    </row>
    <row r="157" spans="1:8" ht="30.75" customHeight="1">
      <c r="A157" t="s">
        <v>54</v>
      </c>
      <c r="B157">
        <v>2</v>
      </c>
      <c r="C157">
        <v>1795</v>
      </c>
      <c r="D157" s="2"/>
      <c r="G157" s="36" t="s">
        <v>54</v>
      </c>
      <c r="H157" s="37">
        <v>1795</v>
      </c>
    </row>
    <row r="159" spans="1:8" s="18" customFormat="1"/>
    <row r="162" spans="1:9">
      <c r="D162" s="42" t="s">
        <v>55</v>
      </c>
      <c r="E162" s="42"/>
      <c r="F162" s="42"/>
    </row>
    <row r="163" spans="1:9" s="32" customFormat="1" ht="26.25" customHeight="1">
      <c r="A163" s="33" t="s">
        <v>56</v>
      </c>
      <c r="B163" s="33" t="s">
        <v>57</v>
      </c>
      <c r="C163" s="33" t="s">
        <v>58</v>
      </c>
      <c r="D163" s="42"/>
      <c r="E163" s="42"/>
      <c r="F163" s="42"/>
    </row>
    <row r="164" spans="1:9" s="32" customFormat="1" ht="26.25" customHeight="1">
      <c r="A164" s="31" t="s">
        <v>59</v>
      </c>
      <c r="B164" s="31">
        <v>835337</v>
      </c>
      <c r="C164" s="31">
        <v>1319</v>
      </c>
      <c r="D164" s="42"/>
      <c r="E164" s="42"/>
      <c r="F164" s="42"/>
    </row>
    <row r="165" spans="1:9" s="32" customFormat="1" ht="26.25" customHeight="1">
      <c r="A165" s="31" t="s">
        <v>60</v>
      </c>
      <c r="B165" s="31">
        <v>882301</v>
      </c>
      <c r="C165" s="31">
        <v>1408</v>
      </c>
      <c r="H165" t="s">
        <v>61</v>
      </c>
      <c r="I165" t="s">
        <v>58</v>
      </c>
    </row>
    <row r="166" spans="1:9" s="32" customFormat="1" ht="26.25" customHeight="1">
      <c r="A166" s="31" t="s">
        <v>62</v>
      </c>
      <c r="B166" s="31">
        <v>981822</v>
      </c>
      <c r="C166" s="31">
        <v>1544</v>
      </c>
      <c r="H166" t="s">
        <v>59</v>
      </c>
      <c r="I166">
        <v>1319</v>
      </c>
    </row>
    <row r="167" spans="1:9" s="32" customFormat="1" ht="26.25" customHeight="1">
      <c r="A167" s="31" t="s">
        <v>63</v>
      </c>
      <c r="B167" s="31">
        <v>853704</v>
      </c>
      <c r="C167" s="31">
        <v>1330</v>
      </c>
      <c r="H167" t="s">
        <v>60</v>
      </c>
      <c r="I167">
        <v>1408</v>
      </c>
    </row>
    <row r="168" spans="1:9" s="32" customFormat="1" ht="26.25" customHeight="1">
      <c r="A168" s="31" t="s">
        <v>64</v>
      </c>
      <c r="B168" s="31">
        <v>928221</v>
      </c>
      <c r="C168" s="31">
        <v>1486</v>
      </c>
      <c r="H168" t="s">
        <v>62</v>
      </c>
      <c r="I168">
        <v>1544</v>
      </c>
    </row>
    <row r="169" spans="1:9" s="32" customFormat="1" ht="26.25" customHeight="1">
      <c r="A169" s="31" t="s">
        <v>65</v>
      </c>
      <c r="B169" s="31">
        <v>854194</v>
      </c>
      <c r="C169" s="31">
        <v>1430</v>
      </c>
      <c r="H169" t="s">
        <v>63</v>
      </c>
      <c r="I169">
        <v>1330</v>
      </c>
    </row>
    <row r="170" spans="1:9" s="32" customFormat="1" ht="26.25" customHeight="1">
      <c r="A170" s="31" t="s">
        <v>66</v>
      </c>
      <c r="B170" s="31">
        <v>870482</v>
      </c>
      <c r="C170" s="31">
        <v>1377</v>
      </c>
      <c r="H170" t="s">
        <v>64</v>
      </c>
      <c r="I170">
        <v>1486</v>
      </c>
    </row>
    <row r="171" spans="1:9" s="32" customFormat="1" ht="26.25" customHeight="1">
      <c r="A171" s="31" t="s">
        <v>67</v>
      </c>
      <c r="B171" s="31">
        <v>975852</v>
      </c>
      <c r="C171" s="31">
        <v>1519</v>
      </c>
      <c r="H171" t="s">
        <v>65</v>
      </c>
      <c r="I171">
        <v>1430</v>
      </c>
    </row>
    <row r="172" spans="1:9" s="32" customFormat="1" ht="26.25" customHeight="1">
      <c r="A172" s="31" t="s">
        <v>68</v>
      </c>
      <c r="B172" s="31">
        <v>926664</v>
      </c>
      <c r="C172" s="31">
        <v>1462</v>
      </c>
      <c r="H172" t="s">
        <v>66</v>
      </c>
      <c r="I172">
        <v>1377</v>
      </c>
    </row>
    <row r="173" spans="1:9" s="32" customFormat="1" ht="26.25" customHeight="1">
      <c r="A173" s="31" t="s">
        <v>69</v>
      </c>
      <c r="B173" s="31">
        <v>1027735</v>
      </c>
      <c r="C173" s="31">
        <v>1619</v>
      </c>
      <c r="H173" t="s">
        <v>67</v>
      </c>
      <c r="I173">
        <v>1519</v>
      </c>
    </row>
    <row r="174" spans="1:9" s="32" customFormat="1" ht="26.25" customHeight="1">
      <c r="A174" s="31" t="s">
        <v>70</v>
      </c>
      <c r="B174" s="31">
        <v>902658</v>
      </c>
      <c r="C174" s="31">
        <v>1396</v>
      </c>
      <c r="H174" t="s">
        <v>68</v>
      </c>
      <c r="I174">
        <v>1462</v>
      </c>
    </row>
    <row r="175" spans="1:9" s="32" customFormat="1" ht="26.25" customHeight="1">
      <c r="A175" s="31" t="s">
        <v>71</v>
      </c>
      <c r="B175" s="31">
        <v>846989</v>
      </c>
      <c r="C175" s="31">
        <v>1300</v>
      </c>
      <c r="H175" t="s">
        <v>69</v>
      </c>
      <c r="I175">
        <v>1619</v>
      </c>
    </row>
    <row r="176" spans="1:9">
      <c r="H176" t="s">
        <v>70</v>
      </c>
      <c r="I176">
        <v>1396</v>
      </c>
    </row>
    <row r="177" spans="8:9">
      <c r="H177" t="s">
        <v>71</v>
      </c>
      <c r="I177">
        <v>1300</v>
      </c>
    </row>
    <row r="181" spans="8:9" s="18" customFormat="1"/>
  </sheetData>
  <mergeCells count="7">
    <mergeCell ref="D141:F143"/>
    <mergeCell ref="D162:F164"/>
    <mergeCell ref="B56:F58"/>
    <mergeCell ref="D2:G2"/>
    <mergeCell ref="B26:E28"/>
    <mergeCell ref="A8:C10"/>
    <mergeCell ref="F115:F116"/>
  </mergeCells>
  <pageMargins left="0.7" right="0.7" top="0.75" bottom="0.75" header="0.3" footer="0.3"/>
  <pageSetup paperSize="6" fitToHeight="0" orientation="portrait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0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2026-01-10T12:22:30Z</dcterms:created>
  <dcterms:modified xsi:type="dcterms:W3CDTF">2026-01-13T13:00:17Z</dcterms:modified>
  <cp:category/>
  <cp:contentStatus/>
</cp:coreProperties>
</file>